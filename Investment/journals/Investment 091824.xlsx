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Personal\Investment\journals\"/>
    </mc:Choice>
  </mc:AlternateContent>
  <xr:revisionPtr revIDLastSave="0" documentId="13_ncr:1_{60D459EA-95D9-4777-9ADC-73F4BC4E23D1}" xr6:coauthVersionLast="47" xr6:coauthVersionMax="47" xr10:uidLastSave="{00000000-0000-0000-0000-000000000000}"/>
  <bookViews>
    <workbookView xWindow="17880" yWindow="-120" windowWidth="29040" windowHeight="17520" xr2:uid="{DF1217B9-536D-48D7-9A8A-9CF45C925CFC}"/>
  </bookViews>
  <sheets>
    <sheet name="Sheet1" sheetId="1" r:id="rId1"/>
  </sheets>
  <definedNames>
    <definedName name="_xlnm._FilterDatabase" localSheetId="0" hidden="1">Sheet1!$B$1:$K$21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5" i="1"/>
  <c r="K5" i="1" s="1"/>
  <c r="I2" i="1"/>
  <c r="I6" i="1"/>
  <c r="I20" i="1"/>
  <c r="I4" i="1"/>
  <c r="I8" i="1"/>
  <c r="I18" i="1"/>
  <c r="I17" i="1"/>
  <c r="I10" i="1"/>
  <c r="K10" i="1" s="1"/>
  <c r="I15" i="1"/>
  <c r="K15" i="1" s="1"/>
  <c r="I14" i="1"/>
  <c r="I13" i="1"/>
  <c r="K13" i="1" s="1"/>
  <c r="I12" i="1"/>
  <c r="K18" i="1" s="1"/>
  <c r="I11" i="1"/>
  <c r="I7" i="1"/>
  <c r="I16" i="1"/>
  <c r="I9" i="1"/>
  <c r="K9" i="1" s="1"/>
  <c r="I3" i="1"/>
  <c r="G21" i="1"/>
  <c r="K19" i="1" l="1"/>
  <c r="K14" i="1"/>
  <c r="K2" i="1"/>
  <c r="K8" i="1"/>
  <c r="K4" i="1"/>
  <c r="K6" i="1"/>
  <c r="K7" i="1"/>
  <c r="K20" i="1"/>
  <c r="K11" i="1"/>
  <c r="K12" i="1"/>
  <c r="K17" i="1"/>
  <c r="I21" i="1"/>
</calcChain>
</file>

<file path=xl/sharedStrings.xml><?xml version="1.0" encoding="utf-8"?>
<sst xmlns="http://schemas.openxmlformats.org/spreadsheetml/2006/main" count="49" uniqueCount="49">
  <si>
    <t>VOO</t>
  </si>
  <si>
    <t>ER</t>
  </si>
  <si>
    <t>YTD</t>
  </si>
  <si>
    <t>1 Y</t>
  </si>
  <si>
    <t>SCHH</t>
  </si>
  <si>
    <t>QQQM</t>
  </si>
  <si>
    <t>REIT</t>
  </si>
  <si>
    <t>SP500</t>
  </si>
  <si>
    <t>NASDAQ</t>
  </si>
  <si>
    <t>Consumer Staples</t>
  </si>
  <si>
    <t>XLP</t>
  </si>
  <si>
    <t>XLV</t>
  </si>
  <si>
    <t>Health Care</t>
  </si>
  <si>
    <t>VUG</t>
  </si>
  <si>
    <t>Growth</t>
  </si>
  <si>
    <t>VIG</t>
  </si>
  <si>
    <t>Dividend</t>
  </si>
  <si>
    <t>IJR</t>
  </si>
  <si>
    <t>Small Caps</t>
  </si>
  <si>
    <t>XLI</t>
  </si>
  <si>
    <t>Industrial</t>
  </si>
  <si>
    <t>XLU</t>
  </si>
  <si>
    <t>Utilities</t>
  </si>
  <si>
    <t>Description</t>
  </si>
  <si>
    <t>Ticket</t>
  </si>
  <si>
    <t>AMZN</t>
  </si>
  <si>
    <t>HEI</t>
  </si>
  <si>
    <t>ULTA</t>
  </si>
  <si>
    <t>SOFI</t>
  </si>
  <si>
    <t>GOOGL</t>
  </si>
  <si>
    <t>WMT</t>
  </si>
  <si>
    <t>COST</t>
  </si>
  <si>
    <t>CMG</t>
  </si>
  <si>
    <t>Amazon</t>
  </si>
  <si>
    <t>HEICO</t>
  </si>
  <si>
    <t>SoFi Technologies, Inc.</t>
  </si>
  <si>
    <t xml:space="preserve">Alphabet, Inc. </t>
  </si>
  <si>
    <t>Walmart, Inc.</t>
  </si>
  <si>
    <t>Costco Wholesale Corp.</t>
  </si>
  <si>
    <t xml:space="preserve">Chipotle Mexican Grill, Inc. </t>
  </si>
  <si>
    <t>Ulta Beauty, Inc</t>
  </si>
  <si>
    <t>Distribution</t>
  </si>
  <si>
    <t>Amount Available</t>
  </si>
  <si>
    <t>XLC</t>
  </si>
  <si>
    <t>Communication</t>
  </si>
  <si>
    <t>Cost as Now</t>
  </si>
  <si>
    <t>Number of Shares</t>
  </si>
  <si>
    <t>Total Available</t>
  </si>
  <si>
    <t>Long Term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</si>
</sst>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C02C-66B6-483B-B614-C5D115EE062A}">
  <sheetPr filterMode="1"/>
  <dimension ref="B1:O24"/>
  <sheetViews>
    <sheetView tabSelected="1" workbookViewId="0">
      <selection activeCell="H24" sqref="H24"/>
    </sheetView>
  </sheetViews>
  <sheetFormatPr defaultRowHeight="15" x14ac:dyDescent="0.25"/>
  <cols>
    <col min="6" max="6" width="25.7109375" bestFit="1" customWidth="1"/>
    <col min="7" max="7" width="11.5703125" bestFit="1" customWidth="1"/>
    <col min="8" max="8" width="11.5703125" customWidth="1"/>
    <col min="9" max="9" width="19.28515625" bestFit="1" customWidth="1"/>
    <col min="10" max="10" width="14" bestFit="1" customWidth="1"/>
    <col min="11" max="11" width="17" bestFit="1" customWidth="1"/>
  </cols>
  <sheetData>
    <row r="1" spans="2:15" x14ac:dyDescent="0.25">
      <c r="B1" s="1" t="s">
        <v>24</v>
      </c>
      <c r="C1" s="1" t="s">
        <v>1</v>
      </c>
      <c r="D1" s="1" t="s">
        <v>2</v>
      </c>
      <c r="E1" s="1" t="s">
        <v>3</v>
      </c>
      <c r="F1" s="1" t="s">
        <v>23</v>
      </c>
      <c r="G1" s="1" t="s">
        <v>41</v>
      </c>
      <c r="H1" s="1" t="s">
        <v>47</v>
      </c>
      <c r="I1" s="1" t="s">
        <v>42</v>
      </c>
      <c r="J1" s="1" t="s">
        <v>45</v>
      </c>
      <c r="K1" s="1" t="s">
        <v>46</v>
      </c>
    </row>
    <row r="2" spans="2:15" x14ac:dyDescent="0.25">
      <c r="B2" s="1" t="s">
        <v>31</v>
      </c>
      <c r="C2" s="1">
        <v>0</v>
      </c>
      <c r="D2" s="1">
        <v>36.49</v>
      </c>
      <c r="E2" s="1">
        <v>60.31</v>
      </c>
      <c r="F2" s="1" t="s">
        <v>38</v>
      </c>
      <c r="G2" s="1">
        <v>0.02</v>
      </c>
      <c r="H2" s="1">
        <v>300000</v>
      </c>
      <c r="I2" s="1">
        <f>H2*G2</f>
        <v>6000</v>
      </c>
      <c r="J2" s="1">
        <v>899.76</v>
      </c>
      <c r="K2" s="2">
        <f>I2/J2</f>
        <v>6.6684449186449717</v>
      </c>
      <c r="O2">
        <v>300000</v>
      </c>
    </row>
    <row r="3" spans="2:15" hidden="1" x14ac:dyDescent="0.25">
      <c r="B3" s="1" t="s">
        <v>5</v>
      </c>
      <c r="C3" s="1">
        <v>0.15</v>
      </c>
      <c r="D3" s="1">
        <v>16.850000000000001</v>
      </c>
      <c r="E3" s="1">
        <v>28.19</v>
      </c>
      <c r="F3" s="1" t="s">
        <v>8</v>
      </c>
      <c r="G3" s="1">
        <v>0</v>
      </c>
      <c r="H3" s="1"/>
      <c r="I3" s="1">
        <f>G3*O2</f>
        <v>0</v>
      </c>
      <c r="J3" s="1"/>
      <c r="K3" s="1"/>
    </row>
    <row r="4" spans="2:15" x14ac:dyDescent="0.25">
      <c r="B4" s="1" t="s">
        <v>26</v>
      </c>
      <c r="C4" s="1">
        <v>0</v>
      </c>
      <c r="D4" s="1">
        <v>46.97</v>
      </c>
      <c r="E4" s="1">
        <v>59.24</v>
      </c>
      <c r="F4" s="1" t="s">
        <v>34</v>
      </c>
      <c r="G4" s="1">
        <v>0.04</v>
      </c>
      <c r="H4" s="1">
        <v>300000</v>
      </c>
      <c r="I4" s="1">
        <f>H4*G4</f>
        <v>12000</v>
      </c>
      <c r="J4" s="1">
        <v>261.58</v>
      </c>
      <c r="K4" s="2">
        <f>I4/J4</f>
        <v>45.875066901139235</v>
      </c>
    </row>
    <row r="5" spans="2:15" x14ac:dyDescent="0.25">
      <c r="B5" s="1" t="s">
        <v>32</v>
      </c>
      <c r="C5" s="1">
        <v>0</v>
      </c>
      <c r="D5" s="1">
        <v>26.54</v>
      </c>
      <c r="E5" s="1">
        <v>51.61</v>
      </c>
      <c r="F5" s="1" t="s">
        <v>39</v>
      </c>
      <c r="G5" s="1">
        <v>0.05</v>
      </c>
      <c r="H5" s="1">
        <v>300000</v>
      </c>
      <c r="I5" s="1">
        <f>H5*G5</f>
        <v>15000</v>
      </c>
      <c r="J5" s="1">
        <v>57.53</v>
      </c>
      <c r="K5" s="2">
        <f>I5/J5</f>
        <v>260.73353033200067</v>
      </c>
    </row>
    <row r="6" spans="2:15" x14ac:dyDescent="0.25">
      <c r="B6" s="1" t="s">
        <v>30</v>
      </c>
      <c r="C6" s="1">
        <v>0</v>
      </c>
      <c r="D6" s="1">
        <v>50.02</v>
      </c>
      <c r="E6" s="1">
        <v>43.24</v>
      </c>
      <c r="F6" s="1" t="s">
        <v>37</v>
      </c>
      <c r="G6" s="1">
        <v>0.03</v>
      </c>
      <c r="H6" s="1">
        <v>300000</v>
      </c>
      <c r="I6" s="1">
        <f>H6*G6</f>
        <v>9000</v>
      </c>
      <c r="J6" s="1">
        <v>79.11</v>
      </c>
      <c r="K6" s="2">
        <f>I6/J6</f>
        <v>113.76564277588169</v>
      </c>
    </row>
    <row r="7" spans="2:15" x14ac:dyDescent="0.25">
      <c r="B7" s="1" t="s">
        <v>13</v>
      </c>
      <c r="C7" s="1">
        <v>0.04</v>
      </c>
      <c r="D7" s="1">
        <v>21.61</v>
      </c>
      <c r="E7" s="1">
        <v>32.659999999999997</v>
      </c>
      <c r="F7" s="1" t="s">
        <v>14</v>
      </c>
      <c r="G7" s="1">
        <v>0.15</v>
      </c>
      <c r="H7" s="1">
        <v>300000</v>
      </c>
      <c r="I7" s="1">
        <f>H7*G7</f>
        <v>45000</v>
      </c>
      <c r="J7" s="1">
        <v>374.64</v>
      </c>
      <c r="K7" s="2">
        <f>I7/J7</f>
        <v>120.11531069827035</v>
      </c>
    </row>
    <row r="8" spans="2:15" x14ac:dyDescent="0.25">
      <c r="B8" s="1" t="s">
        <v>25</v>
      </c>
      <c r="C8" s="1">
        <v>0</v>
      </c>
      <c r="D8" s="1">
        <v>22.95</v>
      </c>
      <c r="E8" s="1">
        <v>32.6</v>
      </c>
      <c r="F8" s="1" t="s">
        <v>33</v>
      </c>
      <c r="G8" s="1">
        <v>0.03</v>
      </c>
      <c r="H8" s="1">
        <v>300000</v>
      </c>
      <c r="I8" s="1">
        <f>H8*G8</f>
        <v>9000</v>
      </c>
      <c r="J8" s="1">
        <v>186.72</v>
      </c>
      <c r="K8" s="2">
        <f>I8/J8</f>
        <v>48.200514138817482</v>
      </c>
    </row>
    <row r="9" spans="2:15" hidden="1" x14ac:dyDescent="0.25">
      <c r="B9" s="1" t="s">
        <v>17</v>
      </c>
      <c r="C9" s="1">
        <v>0.06</v>
      </c>
      <c r="D9" s="1">
        <v>7.47</v>
      </c>
      <c r="E9" s="1">
        <v>18.12</v>
      </c>
      <c r="F9" s="1" t="s">
        <v>18</v>
      </c>
      <c r="G9" s="1">
        <v>0</v>
      </c>
      <c r="H9" s="1"/>
      <c r="I9" s="1">
        <f>G9*O2</f>
        <v>0</v>
      </c>
      <c r="J9" s="1"/>
      <c r="K9" s="2" t="e">
        <f>I9/J9</f>
        <v>#DIV/0!</v>
      </c>
    </row>
    <row r="10" spans="2:15" x14ac:dyDescent="0.25">
      <c r="B10" s="1" t="s">
        <v>43</v>
      </c>
      <c r="C10" s="1">
        <v>0.09</v>
      </c>
      <c r="D10" s="1">
        <v>21.21</v>
      </c>
      <c r="E10" s="1">
        <v>30.32</v>
      </c>
      <c r="F10" s="1" t="s">
        <v>44</v>
      </c>
      <c r="G10" s="1">
        <v>0.05</v>
      </c>
      <c r="H10" s="1">
        <v>300000</v>
      </c>
      <c r="I10" s="1">
        <f>H10*G10</f>
        <v>15000</v>
      </c>
      <c r="J10" s="1">
        <v>87.79</v>
      </c>
      <c r="K10" s="2">
        <f>I10/J10</f>
        <v>170.86228499829136</v>
      </c>
    </row>
    <row r="11" spans="2:15" x14ac:dyDescent="0.25">
      <c r="B11" s="1" t="s">
        <v>0</v>
      </c>
      <c r="C11" s="1">
        <v>0.03</v>
      </c>
      <c r="D11" s="1">
        <v>19.23</v>
      </c>
      <c r="E11" s="1">
        <v>26.62</v>
      </c>
      <c r="F11" s="1" t="s">
        <v>7</v>
      </c>
      <c r="G11" s="1">
        <v>0.2</v>
      </c>
      <c r="H11" s="1">
        <v>300000</v>
      </c>
      <c r="I11" s="1">
        <f>H11*G11</f>
        <v>60000</v>
      </c>
      <c r="J11" s="1">
        <v>518.05999999999995</v>
      </c>
      <c r="K11" s="2">
        <f>I11/J11</f>
        <v>115.8167007682508</v>
      </c>
    </row>
    <row r="12" spans="2:15" x14ac:dyDescent="0.25">
      <c r="B12" s="1" t="s">
        <v>19</v>
      </c>
      <c r="C12" s="1">
        <v>0.09</v>
      </c>
      <c r="D12" s="1">
        <v>16.5</v>
      </c>
      <c r="E12" s="1">
        <v>26.15</v>
      </c>
      <c r="F12" s="1" t="s">
        <v>20</v>
      </c>
      <c r="G12" s="1">
        <v>0.05</v>
      </c>
      <c r="H12" s="1">
        <v>300000</v>
      </c>
      <c r="I12" s="1">
        <f>H12*G12</f>
        <v>15000</v>
      </c>
      <c r="J12" s="1">
        <v>132.19</v>
      </c>
      <c r="K12" s="2">
        <f>I12/J12</f>
        <v>113.47303124290794</v>
      </c>
    </row>
    <row r="13" spans="2:15" x14ac:dyDescent="0.25">
      <c r="B13" s="1" t="s">
        <v>21</v>
      </c>
      <c r="C13" s="1">
        <v>0.09</v>
      </c>
      <c r="D13" s="1">
        <v>25.06</v>
      </c>
      <c r="E13" s="1">
        <v>22.34</v>
      </c>
      <c r="F13" s="1" t="s">
        <v>22</v>
      </c>
      <c r="G13" s="1">
        <v>0.05</v>
      </c>
      <c r="H13" s="1">
        <v>300000</v>
      </c>
      <c r="I13" s="1">
        <f>H13*G13</f>
        <v>15000</v>
      </c>
      <c r="J13" s="1">
        <v>78.7</v>
      </c>
      <c r="K13" s="2">
        <f>I13/J13</f>
        <v>190.59720457433289</v>
      </c>
    </row>
    <row r="14" spans="2:15" x14ac:dyDescent="0.25">
      <c r="B14" s="1" t="s">
        <v>4</v>
      </c>
      <c r="C14" s="1">
        <v>7.0000000000000007E-2</v>
      </c>
      <c r="D14" s="1">
        <v>13.21</v>
      </c>
      <c r="E14" s="1">
        <v>21.89</v>
      </c>
      <c r="F14" s="1" t="s">
        <v>6</v>
      </c>
      <c r="G14" s="1">
        <v>0.11</v>
      </c>
      <c r="H14" s="1">
        <v>300000</v>
      </c>
      <c r="I14" s="1">
        <f>H14*G14</f>
        <v>33000</v>
      </c>
      <c r="J14" s="1">
        <v>23.34</v>
      </c>
      <c r="K14" s="2">
        <f>I14/J14</f>
        <v>1413.8817480719795</v>
      </c>
    </row>
    <row r="15" spans="2:15" x14ac:dyDescent="0.25">
      <c r="B15" s="1" t="s">
        <v>15</v>
      </c>
      <c r="C15" s="1">
        <v>0.06</v>
      </c>
      <c r="D15" s="1">
        <v>15.83</v>
      </c>
      <c r="E15" s="1">
        <v>21.65</v>
      </c>
      <c r="F15" s="1" t="s">
        <v>16</v>
      </c>
      <c r="G15" s="1">
        <v>0.05</v>
      </c>
      <c r="H15" s="1">
        <v>300000</v>
      </c>
      <c r="I15" s="1">
        <f>H15*G15</f>
        <v>15000</v>
      </c>
      <c r="J15" s="1">
        <v>196.48</v>
      </c>
      <c r="K15" s="2">
        <f>I15/J15</f>
        <v>76.343648208469062</v>
      </c>
    </row>
    <row r="16" spans="2:15" hidden="1" x14ac:dyDescent="0.25">
      <c r="B16" s="1" t="s">
        <v>29</v>
      </c>
      <c r="C16" s="1">
        <v>0</v>
      </c>
      <c r="D16" s="1">
        <v>14.85</v>
      </c>
      <c r="E16" s="1">
        <v>16.48</v>
      </c>
      <c r="F16" s="1" t="s">
        <v>36</v>
      </c>
      <c r="G16" s="1">
        <v>0</v>
      </c>
      <c r="H16" s="1"/>
      <c r="I16" s="1">
        <f>G16*O2</f>
        <v>0</v>
      </c>
      <c r="J16" s="1"/>
      <c r="K16" s="2"/>
    </row>
    <row r="17" spans="2:11" x14ac:dyDescent="0.25">
      <c r="B17" s="1" t="s">
        <v>11</v>
      </c>
      <c r="C17" s="1">
        <v>0.09</v>
      </c>
      <c r="D17" s="1">
        <v>14.45</v>
      </c>
      <c r="E17" s="1">
        <v>18.079999999999998</v>
      </c>
      <c r="F17" s="1" t="s">
        <v>12</v>
      </c>
      <c r="G17" s="1">
        <v>0.05</v>
      </c>
      <c r="H17" s="1">
        <v>300000</v>
      </c>
      <c r="I17" s="1">
        <f>H17*G17</f>
        <v>15000</v>
      </c>
      <c r="J17" s="1">
        <v>155.78</v>
      </c>
      <c r="K17" s="2">
        <f>I17/J17</f>
        <v>96.289639234818338</v>
      </c>
    </row>
    <row r="18" spans="2:11" x14ac:dyDescent="0.25">
      <c r="B18" s="1" t="s">
        <v>10</v>
      </c>
      <c r="C18" s="1">
        <v>0.09</v>
      </c>
      <c r="D18" s="1">
        <v>16.47</v>
      </c>
      <c r="E18" s="1">
        <v>16.420000000000002</v>
      </c>
      <c r="F18" s="1" t="s">
        <v>9</v>
      </c>
      <c r="G18" s="1">
        <v>0.05</v>
      </c>
      <c r="H18" s="1">
        <v>300000</v>
      </c>
      <c r="I18" s="1">
        <f>H18*G18</f>
        <v>15000</v>
      </c>
      <c r="J18" s="1">
        <v>83.6</v>
      </c>
      <c r="K18" s="2">
        <f>I18/J18</f>
        <v>179.42583732057417</v>
      </c>
    </row>
    <row r="19" spans="2:11" x14ac:dyDescent="0.25">
      <c r="B19" s="1" t="s">
        <v>27</v>
      </c>
      <c r="C19" s="1">
        <v>0</v>
      </c>
      <c r="D19" s="1">
        <v>-17.57</v>
      </c>
      <c r="E19" s="1">
        <v>-2.68</v>
      </c>
      <c r="F19" s="1" t="s">
        <v>40</v>
      </c>
      <c r="G19" s="1">
        <v>0.02</v>
      </c>
      <c r="H19" s="1">
        <v>300000</v>
      </c>
      <c r="I19" s="1">
        <f>H19*G19</f>
        <v>6000</v>
      </c>
      <c r="J19" s="1">
        <v>401.83</v>
      </c>
      <c r="K19" s="2">
        <f>I19/J19</f>
        <v>14.931687529552299</v>
      </c>
    </row>
    <row r="20" spans="2:11" x14ac:dyDescent="0.25">
      <c r="B20" s="1" t="s">
        <v>28</v>
      </c>
      <c r="C20" s="1">
        <v>0</v>
      </c>
      <c r="D20" s="1">
        <v>-15.86</v>
      </c>
      <c r="E20" s="1">
        <v>-9.7200000000000006</v>
      </c>
      <c r="F20" s="1" t="s">
        <v>35</v>
      </c>
      <c r="G20" s="1">
        <v>0.05</v>
      </c>
      <c r="H20" s="1">
        <v>300000</v>
      </c>
      <c r="I20" s="1">
        <f>H20*G20</f>
        <v>15000</v>
      </c>
      <c r="J20" s="1">
        <v>8.1199999999999992</v>
      </c>
      <c r="K20" s="2">
        <f>I20/J20</f>
        <v>1847.2906403940888</v>
      </c>
    </row>
    <row r="21" spans="2:11" x14ac:dyDescent="0.25">
      <c r="G21">
        <f>SUM(G2:G20)</f>
        <v>1.0000000000000002</v>
      </c>
      <c r="I21">
        <f>SUM(I2:I20)</f>
        <v>300000</v>
      </c>
    </row>
    <row r="24" spans="2:11" x14ac:dyDescent="0.25">
      <c r="H24" t="s">
        <v>48</v>
      </c>
    </row>
  </sheetData>
  <autoFilter ref="B1:K21" xr:uid="{6E32C02C-66B6-483B-B614-C5D115EE062A}">
    <filterColumn colId="5">
      <filters>
        <filter val="0.02"/>
        <filter val="0.03"/>
        <filter val="0.04"/>
        <filter val="0.05"/>
        <filter val="0.11"/>
        <filter val="0.15"/>
        <filter val="0.2"/>
        <filter val="1"/>
      </filters>
    </filterColumn>
    <sortState xmlns:xlrd2="http://schemas.microsoft.com/office/spreadsheetml/2017/richdata2" ref="B2:K21">
      <sortCondition descending="1" ref="E1:E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Vazquez, Zareh</dc:creator>
  <cp:lastModifiedBy>Vazquez, Zareh</cp:lastModifiedBy>
  <dcterms:created xsi:type="dcterms:W3CDTF">2024-09-18T13:00:01Z</dcterms:created>
  <dcterms:modified xsi:type="dcterms:W3CDTF">2024-09-18T19:09:14Z</dcterms:modified>
</cp:coreProperties>
</file>